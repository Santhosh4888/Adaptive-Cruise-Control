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ACC\Auto-Cruise\"/>
    </mc:Choice>
  </mc:AlternateContent>
  <bookViews>
    <workbookView xWindow="0" yWindow="0" windowWidth="23040" windowHeight="9072" activeTab="1"/>
  </bookViews>
  <sheets>
    <sheet name="Metrics_Comp_CS" sheetId="1" r:id="rId1"/>
    <sheet name="Metrics_Comp_FV" sheetId="2" r:id="rId2"/>
  </sheets>
  <calcPr calcId="162913"/>
</workbook>
</file>

<file path=xl/calcChain.xml><?xml version="1.0" encoding="utf-8"?>
<calcChain xmlns="http://schemas.openxmlformats.org/spreadsheetml/2006/main">
  <c r="H63" i="2" l="1"/>
  <c r="G63" i="2"/>
  <c r="C63" i="2"/>
  <c r="B63" i="2"/>
  <c r="H62" i="2"/>
  <c r="G62" i="2"/>
  <c r="C62" i="2"/>
  <c r="B62" i="2"/>
  <c r="I33" i="2"/>
  <c r="H33" i="2"/>
  <c r="G33" i="2"/>
  <c r="C33" i="2"/>
  <c r="B33" i="2"/>
  <c r="C8" i="2"/>
  <c r="H7" i="2"/>
  <c r="C7" i="2"/>
  <c r="H34" i="2"/>
  <c r="G34" i="2"/>
  <c r="C34" i="2"/>
  <c r="B34" i="2"/>
  <c r="G7" i="2"/>
  <c r="B7" i="2"/>
  <c r="H8" i="2"/>
  <c r="G8" i="2"/>
  <c r="B8" i="2"/>
  <c r="H60" i="1"/>
  <c r="G60" i="1"/>
  <c r="C60" i="1"/>
  <c r="B60" i="1"/>
  <c r="H8" i="1"/>
  <c r="G8" i="1"/>
  <c r="C8" i="1"/>
  <c r="B8" i="1"/>
  <c r="H34" i="1"/>
  <c r="G34" i="1"/>
  <c r="C34" i="1"/>
  <c r="B34" i="1"/>
  <c r="H59" i="1" l="1"/>
  <c r="G59" i="1"/>
  <c r="C59" i="1"/>
  <c r="B59" i="1"/>
</calcChain>
</file>

<file path=xl/sharedStrings.xml><?xml version="1.0" encoding="utf-8"?>
<sst xmlns="http://schemas.openxmlformats.org/spreadsheetml/2006/main" count="120" uniqueCount="24">
  <si>
    <t>Jerk Metrics Comparision</t>
  </si>
  <si>
    <t>5 kmph</t>
  </si>
  <si>
    <t>10kmph</t>
  </si>
  <si>
    <t xml:space="preserve"> Test Case </t>
  </si>
  <si>
    <t xml:space="preserve"> PD (m/s²) </t>
  </si>
  <si>
    <t xml:space="preserve"> MPC (m/s²) </t>
  </si>
  <si>
    <t xml:space="preserve"> CS1       </t>
  </si>
  <si>
    <t xml:space="preserve"> CS2       </t>
  </si>
  <si>
    <t xml:space="preserve"> CS3       </t>
  </si>
  <si>
    <t>Average</t>
  </si>
  <si>
    <t xml:space="preserve"> PD (m/s³) </t>
  </si>
  <si>
    <t xml:space="preserve"> MPC (m/s³) </t>
  </si>
  <si>
    <t xml:space="preserve"> Reduction </t>
  </si>
  <si>
    <t xml:space="preserve"> PD (KJ) </t>
  </si>
  <si>
    <t xml:space="preserve"> MPC  (KJ) </t>
  </si>
  <si>
    <t xml:space="preserve">Manual </t>
  </si>
  <si>
    <t xml:space="preserve"> FV1       </t>
  </si>
  <si>
    <t xml:space="preserve"> FV2       </t>
  </si>
  <si>
    <t xml:space="preserve"> FV3       </t>
  </si>
  <si>
    <t xml:space="preserve">Energy consumption Metrics </t>
  </si>
  <si>
    <t>Standard Deviation</t>
  </si>
  <si>
    <t>RMS Acceleration Metrics Comparision</t>
  </si>
  <si>
    <t xml:space="preserve"> FV2</t>
  </si>
  <si>
    <t xml:space="preserve"> FV3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</si>
</sst>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5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0" fontId="16" fillId="0" borderId="0" xfId="0" applyNumberFormat="1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3" xfId="0" applyBorder="1"/>
    <xf numFmtId="9" fontId="0" fillId="0" borderId="0" xfId="0" applyNumberFormat="1" applyBorder="1"/>
    <xf numFmtId="9" fontId="0" fillId="0" borderId="17" xfId="0" applyNumberFormat="1" applyBorder="1"/>
    <xf numFmtId="0" fontId="0" fillId="0" borderId="1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9" fontId="0" fillId="0" borderId="10" xfId="0" applyNumberFormat="1" applyBorder="1"/>
    <xf numFmtId="9" fontId="0" fillId="0" borderId="15" xfId="0" applyNumberFormat="1" applyBorder="1"/>
    <xf numFmtId="9" fontId="0" fillId="0" borderId="19" xfId="0" applyNumberFormat="1" applyBorder="1"/>
    <xf numFmtId="9" fontId="0" fillId="0" borderId="21" xfId="0" applyNumberFormat="1" applyBorder="1"/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Metrics_Comp_CS!$B$3</c:f>
              <c:strCache>
                <c:ptCount val="1"/>
                <c:pt idx="0">
                  <c:v> PD (m/s²)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Metrics_Comp_CS!$A$4:$A$6</c:f>
              <c:strCache>
                <c:ptCount val="3"/>
                <c:pt idx="0">
                  <c:v> CS1       </c:v>
                </c:pt>
                <c:pt idx="1">
                  <c:v> CS2       </c:v>
                </c:pt>
                <c:pt idx="2">
                  <c:v> CS3       </c:v>
                </c:pt>
              </c:strCache>
            </c:strRef>
          </c:cat>
          <c:val>
            <c:numRef>
              <c:f>Metrics_Comp_CS!$B$4:$B$6</c:f>
              <c:numCache>
                <c:formatCode>General</c:formatCode>
                <c:ptCount val="3"/>
                <c:pt idx="0">
                  <c:v>0.12540000000000001</c:v>
                </c:pt>
                <c:pt idx="1">
                  <c:v>0.1147</c:v>
                </c:pt>
                <c:pt idx="2">
                  <c:v>0.1275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C-4A68-9AC4-99D97BDC9BE4}"/>
            </c:ext>
          </c:extLst>
        </c:ser>
        <c:ser>
          <c:idx val="1"/>
          <c:order val="1"/>
          <c:tx>
            <c:strRef>
              <c:f>Metrics_Comp_CS!$C$3</c:f>
              <c:strCache>
                <c:ptCount val="1"/>
                <c:pt idx="0">
                  <c:v> MPC (m/s²)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Metrics_Comp_CS!$A$4:$A$6</c:f>
              <c:strCache>
                <c:ptCount val="3"/>
                <c:pt idx="0">
                  <c:v> CS1       </c:v>
                </c:pt>
                <c:pt idx="1">
                  <c:v> CS2       </c:v>
                </c:pt>
                <c:pt idx="2">
                  <c:v> CS3       </c:v>
                </c:pt>
              </c:strCache>
            </c:strRef>
          </c:cat>
          <c:val>
            <c:numRef>
              <c:f>Metrics_Comp_CS!$C$4:$C$6</c:f>
              <c:numCache>
                <c:formatCode>General</c:formatCode>
                <c:ptCount val="3"/>
                <c:pt idx="0">
                  <c:v>0.10829999999999999</c:v>
                </c:pt>
                <c:pt idx="1">
                  <c:v>0.1023</c:v>
                </c:pt>
                <c:pt idx="2">
                  <c:v>0.1077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8C-4A68-9AC4-99D97BDC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235816"/>
        <c:axId val="343236144"/>
      </c:barChart>
      <c:catAx>
        <c:axId val="34323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36144"/>
        <c:crosses val="autoZero"/>
        <c:auto val="1"/>
        <c:lblAlgn val="ctr"/>
        <c:lblOffset val="100"/>
        <c:noMultiLvlLbl val="0"/>
      </c:catAx>
      <c:valAx>
        <c:axId val="34323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3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Metrics_Comp_CS!$G$3</c:f>
              <c:strCache>
                <c:ptCount val="1"/>
                <c:pt idx="0">
                  <c:v> PD (m/s²)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Metrics_Comp_CS!$F$4:$F$6</c:f>
              <c:strCache>
                <c:ptCount val="3"/>
                <c:pt idx="0">
                  <c:v> CS1       </c:v>
                </c:pt>
                <c:pt idx="1">
                  <c:v> CS2       </c:v>
                </c:pt>
                <c:pt idx="2">
                  <c:v> CS3       </c:v>
                </c:pt>
              </c:strCache>
            </c:strRef>
          </c:cat>
          <c:val>
            <c:numRef>
              <c:f>Metrics_Comp_CS!$G$4:$G$6</c:f>
              <c:numCache>
                <c:formatCode>General</c:formatCode>
                <c:ptCount val="3"/>
                <c:pt idx="0">
                  <c:v>0.23810000000000001</c:v>
                </c:pt>
                <c:pt idx="1">
                  <c:v>0.2576</c:v>
                </c:pt>
                <c:pt idx="2">
                  <c:v>0.2422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F-4239-A213-AB6CBC14CECD}"/>
            </c:ext>
          </c:extLst>
        </c:ser>
        <c:ser>
          <c:idx val="1"/>
          <c:order val="1"/>
          <c:tx>
            <c:strRef>
              <c:f>Metrics_Comp_CS!$H$3</c:f>
              <c:strCache>
                <c:ptCount val="1"/>
                <c:pt idx="0">
                  <c:v> MPC (m/s²)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Metrics_Comp_CS!$F$4:$F$6</c:f>
              <c:strCache>
                <c:ptCount val="3"/>
                <c:pt idx="0">
                  <c:v> CS1       </c:v>
                </c:pt>
                <c:pt idx="1">
                  <c:v> CS2       </c:v>
                </c:pt>
                <c:pt idx="2">
                  <c:v> CS3       </c:v>
                </c:pt>
              </c:strCache>
            </c:strRef>
          </c:cat>
          <c:val>
            <c:numRef>
              <c:f>Metrics_Comp_CS!$H$4:$H$6</c:f>
              <c:numCache>
                <c:formatCode>General</c:formatCode>
                <c:ptCount val="3"/>
                <c:pt idx="0">
                  <c:v>0.21310000000000001</c:v>
                </c:pt>
                <c:pt idx="1">
                  <c:v>0.21310000000000001</c:v>
                </c:pt>
                <c:pt idx="2">
                  <c:v>0.21440000000000001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F-4239-A213-AB6CBC14C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232864"/>
        <c:axId val="343239424"/>
      </c:barChart>
      <c:catAx>
        <c:axId val="34323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39424"/>
        <c:crosses val="autoZero"/>
        <c:auto val="1"/>
        <c:lblAlgn val="ctr"/>
        <c:lblOffset val="100"/>
        <c:noMultiLvlLbl val="0"/>
      </c:catAx>
      <c:valAx>
        <c:axId val="3432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3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Metrics_Comp_CS!$B$29</c:f>
              <c:strCache>
                <c:ptCount val="1"/>
                <c:pt idx="0">
                  <c:v> PD (m/s³)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Metrics_Comp_CS!$A$30:$A$32</c:f>
              <c:strCache>
                <c:ptCount val="3"/>
                <c:pt idx="0">
                  <c:v> CS1       </c:v>
                </c:pt>
                <c:pt idx="1">
                  <c:v> CS2       </c:v>
                </c:pt>
                <c:pt idx="2">
                  <c:v> CS3       </c:v>
                </c:pt>
              </c:strCache>
            </c:strRef>
          </c:cat>
          <c:val>
            <c:numRef>
              <c:f>Metrics_Comp_CS!$B$30:$B$32</c:f>
              <c:numCache>
                <c:formatCode>General</c:formatCode>
                <c:ptCount val="3"/>
                <c:pt idx="0">
                  <c:v>6.83E-2</c:v>
                </c:pt>
                <c:pt idx="1">
                  <c:v>3.85E-2</c:v>
                </c:pt>
                <c:pt idx="2">
                  <c:v>5.1700000000000003E-2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3-4517-B19C-7F2A244842DB}"/>
            </c:ext>
          </c:extLst>
        </c:ser>
        <c:ser>
          <c:idx val="1"/>
          <c:order val="1"/>
          <c:tx>
            <c:strRef>
              <c:f>Metrics_Comp_CS!$C$29</c:f>
              <c:strCache>
                <c:ptCount val="1"/>
                <c:pt idx="0">
                  <c:v> MPC (m/s³)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Metrics_Comp_CS!$A$30:$A$32</c:f>
              <c:strCache>
                <c:ptCount val="3"/>
                <c:pt idx="0">
                  <c:v> CS1       </c:v>
                </c:pt>
                <c:pt idx="1">
                  <c:v> CS2       </c:v>
                </c:pt>
                <c:pt idx="2">
                  <c:v> CS3       </c:v>
                </c:pt>
              </c:strCache>
            </c:strRef>
          </c:cat>
          <c:val>
            <c:numRef>
              <c:f>Metrics_Comp_CS!$C$30:$C$32</c:f>
              <c:numCache>
                <c:formatCode>General</c:formatCode>
                <c:ptCount val="3"/>
                <c:pt idx="0">
                  <c:v>4.02E-2</c:v>
                </c:pt>
                <c:pt idx="1">
                  <c:v>3.2199999999999999E-2</c:v>
                </c:pt>
                <c:pt idx="2">
                  <c:v>3.9399999999999998E-2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3-4517-B19C-7F2A24484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068832"/>
        <c:axId val="345064896"/>
      </c:barChart>
      <c:catAx>
        <c:axId val="34506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64896"/>
        <c:crosses val="autoZero"/>
        <c:auto val="1"/>
        <c:lblAlgn val="ctr"/>
        <c:lblOffset val="100"/>
        <c:noMultiLvlLbl val="0"/>
      </c:catAx>
      <c:valAx>
        <c:axId val="34506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6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10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Metrics_Comp_CS!$G$29</c:f>
              <c:strCache>
                <c:ptCount val="1"/>
                <c:pt idx="0">
                  <c:v> PD (m/s³)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Metrics_Comp_CS!$F$30:$F$32</c:f>
              <c:strCache>
                <c:ptCount val="3"/>
                <c:pt idx="0">
                  <c:v> CS1       </c:v>
                </c:pt>
                <c:pt idx="1">
                  <c:v> CS2       </c:v>
                </c:pt>
                <c:pt idx="2">
                  <c:v> CS3       </c:v>
                </c:pt>
              </c:strCache>
            </c:strRef>
          </c:cat>
          <c:val>
            <c:numRef>
              <c:f>Metrics_Comp_CS!$G$30:$G$32</c:f>
              <c:numCache>
                <c:formatCode>General</c:formatCode>
                <c:ptCount val="3"/>
                <c:pt idx="0">
                  <c:v>7.0900000000000005E-2</c:v>
                </c:pt>
                <c:pt idx="1">
                  <c:v>7.6600000000000001E-2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7-4004-A350-7EC1DF6862DD}"/>
            </c:ext>
          </c:extLst>
        </c:ser>
        <c:ser>
          <c:idx val="1"/>
          <c:order val="1"/>
          <c:tx>
            <c:strRef>
              <c:f>Metrics_Comp_CS!$H$29</c:f>
              <c:strCache>
                <c:ptCount val="1"/>
                <c:pt idx="0">
                  <c:v> MPC (m/s³)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Metrics_Comp_CS!$F$30:$F$32</c:f>
              <c:strCache>
                <c:ptCount val="3"/>
                <c:pt idx="0">
                  <c:v> CS1       </c:v>
                </c:pt>
                <c:pt idx="1">
                  <c:v> CS2       </c:v>
                </c:pt>
                <c:pt idx="2">
                  <c:v> CS3       </c:v>
                </c:pt>
              </c:strCache>
            </c:strRef>
          </c:cat>
          <c:val>
            <c:numRef>
              <c:f>Metrics_Comp_CS!$H$30:$H$32</c:f>
              <c:numCache>
                <c:formatCode>General</c:formatCode>
                <c:ptCount val="3"/>
                <c:pt idx="0">
                  <c:v>4.53E-2</c:v>
                </c:pt>
                <c:pt idx="1">
                  <c:v>4.9000000000000002E-2</c:v>
                </c:pt>
                <c:pt idx="2">
                  <c:v>3.8399999999999997E-2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77-4004-A350-7EC1DF686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282248"/>
        <c:axId val="344277328"/>
      </c:barChart>
      <c:catAx>
        <c:axId val="34428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77328"/>
        <c:crosses val="autoZero"/>
        <c:auto val="1"/>
        <c:lblAlgn val="ctr"/>
        <c:lblOffset val="100"/>
        <c:noMultiLvlLbl val="0"/>
      </c:catAx>
      <c:valAx>
        <c:axId val="34427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2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171450</xdr:rowOff>
    </xdr:from>
    <xdr:to>
      <xdr:col>6</xdr:col>
      <xdr:colOff>449580</xdr:colOff>
      <xdr:row>23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8</xdr:row>
      <xdr:rowOff>45720</xdr:rowOff>
    </xdr:from>
    <xdr:to>
      <xdr:col>14</xdr:col>
      <xdr:colOff>167640</xdr:colOff>
      <xdr:row>23</xdr:row>
      <xdr:rowOff>45720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45720</xdr:colOff>
      <xdr:row>35</xdr:row>
      <xdr:rowOff>57150</xdr:rowOff>
    </xdr:from>
    <xdr:to>
      <xdr:col>8</xdr:col>
      <xdr:colOff>449580</xdr:colOff>
      <xdr:row>50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160020</xdr:colOff>
      <xdr:row>36</xdr:row>
      <xdr:rowOff>57150</xdr:rowOff>
    </xdr:from>
    <xdr:to>
      <xdr:col>16</xdr:col>
      <xdr:colOff>464820</xdr:colOff>
      <xdr:row>51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opLeftCell="A28" workbookViewId="0">
      <selection activeCell="D33" sqref="D33"/>
    </sheetView>
  </sheetViews>
  <sheetFormatPr defaultRowHeight="14.4" x14ac:dyDescent="0.3"/>
  <cols>
    <col min="1" max="1" width="11.33203125" customWidth="1"/>
    <col min="3" max="3" width="12" bestFit="1" customWidth="1"/>
    <col min="6" max="6" width="10.109375" customWidth="1"/>
    <col min="8" max="8" width="12" bestFit="1" customWidth="1"/>
  </cols>
  <sheetData>
    <row r="1" spans="1:8" x14ac:dyDescent="0.3">
      <c r="A1" s="18" t="s">
        <v>21</v>
      </c>
      <c r="B1" s="19"/>
      <c r="C1" s="19"/>
      <c r="D1" s="19"/>
      <c r="E1" s="19"/>
      <c r="F1" s="19"/>
      <c r="G1" s="19"/>
      <c r="H1" s="20"/>
    </row>
    <row r="2" spans="1:8" x14ac:dyDescent="0.3">
      <c r="A2" s="21" t="s">
        <v>1</v>
      </c>
      <c r="B2" s="22"/>
      <c r="C2" s="22"/>
      <c r="D2" s="2"/>
      <c r="E2" s="2"/>
      <c r="F2" s="22" t="s">
        <v>2</v>
      </c>
      <c r="G2" s="22"/>
      <c r="H2" s="23"/>
    </row>
    <row r="3" spans="1:8" x14ac:dyDescent="0.3">
      <c r="A3" s="5" t="s">
        <v>3</v>
      </c>
      <c r="B3" s="2" t="s">
        <v>4</v>
      </c>
      <c r="C3" s="2" t="s">
        <v>5</v>
      </c>
      <c r="D3" s="2"/>
      <c r="E3" s="2"/>
      <c r="F3" s="2" t="s">
        <v>3</v>
      </c>
      <c r="G3" s="2" t="s">
        <v>4</v>
      </c>
      <c r="H3" s="6" t="s">
        <v>5</v>
      </c>
    </row>
    <row r="4" spans="1:8" x14ac:dyDescent="0.3">
      <c r="A4" s="5" t="s">
        <v>6</v>
      </c>
      <c r="B4" s="2">
        <v>0.12540000000000001</v>
      </c>
      <c r="C4" s="2">
        <v>0.10829999999999999</v>
      </c>
      <c r="D4" s="2"/>
      <c r="E4" s="2"/>
      <c r="F4" s="2" t="s">
        <v>6</v>
      </c>
      <c r="G4" s="2">
        <v>0.23810000000000001</v>
      </c>
      <c r="H4" s="6">
        <v>0.21310000000000001</v>
      </c>
    </row>
    <row r="5" spans="1:8" x14ac:dyDescent="0.3">
      <c r="A5" s="5" t="s">
        <v>7</v>
      </c>
      <c r="B5" s="2">
        <v>0.1147</v>
      </c>
      <c r="C5" s="2">
        <v>0.1023</v>
      </c>
      <c r="D5" s="2"/>
      <c r="E5" s="2"/>
      <c r="F5" s="2" t="s">
        <v>7</v>
      </c>
      <c r="G5" s="2">
        <v>0.2576</v>
      </c>
      <c r="H5" s="6">
        <v>0.21310000000000001</v>
      </c>
    </row>
    <row r="6" spans="1:8" x14ac:dyDescent="0.3">
      <c r="A6" s="5" t="s">
        <v>8</v>
      </c>
      <c r="B6" s="2">
        <v>0.1275</v>
      </c>
      <c r="C6" s="2">
        <v>0.1077</v>
      </c>
      <c r="D6" s="2"/>
      <c r="E6" s="2"/>
      <c r="F6" s="2" t="s">
        <v>8</v>
      </c>
      <c r="G6" s="2">
        <v>0.2422</v>
      </c>
      <c r="H6" s="6">
        <v>0.21440000000000001</v>
      </c>
    </row>
    <row r="7" spans="1:8" x14ac:dyDescent="0.3">
      <c r="A7" s="5" t="s">
        <v>9</v>
      </c>
      <c r="B7" s="2">
        <v>0.12253333299999999</v>
      </c>
      <c r="C7" s="2">
        <v>0.1061</v>
      </c>
      <c r="D7" s="2"/>
      <c r="E7" s="2"/>
      <c r="F7" s="2" t="s">
        <v>9</v>
      </c>
      <c r="G7" s="2">
        <v>0.245966667</v>
      </c>
      <c r="H7" s="6">
        <v>0.21353333299999999</v>
      </c>
    </row>
    <row r="8" spans="1:8" ht="29.4" thickBot="1" x14ac:dyDescent="0.35">
      <c r="A8" s="24" t="s">
        <v>20</v>
      </c>
      <c r="B8" s="9">
        <f>_xlfn.STDEV.S(B4,B5,B6)</f>
        <v>6.8646437149595318E-3</v>
      </c>
      <c r="C8" s="9">
        <f>_xlfn.STDEV.S(C4,C5,C6)</f>
        <v>3.3045423283716586E-3</v>
      </c>
      <c r="D8" s="9"/>
      <c r="E8" s="9"/>
      <c r="F8" s="25" t="s">
        <v>20</v>
      </c>
      <c r="G8" s="9">
        <f>_xlfn.STDEV.S(G4,G5,G6)</f>
        <v>1.0281212639243156E-2</v>
      </c>
      <c r="H8" s="26">
        <f>_xlfn.STDEV.S(H4,H5,H6)</f>
        <v>7.5055534994651098E-4</v>
      </c>
    </row>
    <row r="26" spans="1:9" ht="15" thickBot="1" x14ac:dyDescent="0.35"/>
    <row r="27" spans="1:9" x14ac:dyDescent="0.3">
      <c r="A27" s="18" t="s">
        <v>0</v>
      </c>
      <c r="B27" s="19"/>
      <c r="C27" s="19"/>
      <c r="D27" s="19"/>
      <c r="E27" s="19"/>
      <c r="F27" s="19"/>
      <c r="G27" s="19"/>
      <c r="H27" s="19"/>
      <c r="I27" s="20"/>
    </row>
    <row r="28" spans="1:9" x14ac:dyDescent="0.3">
      <c r="A28" s="21" t="s">
        <v>1</v>
      </c>
      <c r="B28" s="22"/>
      <c r="C28" s="22"/>
      <c r="D28" s="22"/>
      <c r="E28" s="2"/>
      <c r="F28" s="22" t="s">
        <v>2</v>
      </c>
      <c r="G28" s="22"/>
      <c r="H28" s="22"/>
      <c r="I28" s="23"/>
    </row>
    <row r="29" spans="1:9" x14ac:dyDescent="0.3">
      <c r="A29" s="5" t="s">
        <v>3</v>
      </c>
      <c r="B29" s="2" t="s">
        <v>10</v>
      </c>
      <c r="C29" s="2" t="s">
        <v>11</v>
      </c>
      <c r="D29" s="2" t="s">
        <v>12</v>
      </c>
      <c r="E29" s="2"/>
      <c r="F29" s="2" t="s">
        <v>3</v>
      </c>
      <c r="G29" s="2" t="s">
        <v>10</v>
      </c>
      <c r="H29" s="2" t="s">
        <v>11</v>
      </c>
      <c r="I29" s="6" t="s">
        <v>12</v>
      </c>
    </row>
    <row r="30" spans="1:9" x14ac:dyDescent="0.3">
      <c r="A30" s="5" t="s">
        <v>6</v>
      </c>
      <c r="B30" s="2">
        <v>6.83E-2</v>
      </c>
      <c r="C30" s="2">
        <v>4.02E-2</v>
      </c>
      <c r="D30" s="27">
        <v>-0.41</v>
      </c>
      <c r="E30" s="2"/>
      <c r="F30" s="2" t="s">
        <v>6</v>
      </c>
      <c r="G30" s="2">
        <v>7.0900000000000005E-2</v>
      </c>
      <c r="H30" s="2">
        <v>4.53E-2</v>
      </c>
      <c r="I30" s="28">
        <v>-0.36</v>
      </c>
    </row>
    <row r="31" spans="1:9" x14ac:dyDescent="0.3">
      <c r="A31" s="5" t="s">
        <v>7</v>
      </c>
      <c r="B31" s="2">
        <v>3.85E-2</v>
      </c>
      <c r="C31" s="2">
        <v>3.2199999999999999E-2</v>
      </c>
      <c r="D31" s="27">
        <v>-0.16</v>
      </c>
      <c r="E31" s="2"/>
      <c r="F31" s="2" t="s">
        <v>7</v>
      </c>
      <c r="G31" s="2">
        <v>7.6600000000000001E-2</v>
      </c>
      <c r="H31" s="2">
        <v>4.9000000000000002E-2</v>
      </c>
      <c r="I31" s="28">
        <v>-0.36</v>
      </c>
    </row>
    <row r="32" spans="1:9" x14ac:dyDescent="0.3">
      <c r="A32" s="5" t="s">
        <v>8</v>
      </c>
      <c r="B32" s="2">
        <v>5.1700000000000003E-2</v>
      </c>
      <c r="C32" s="2">
        <v>3.9399999999999998E-2</v>
      </c>
      <c r="D32" s="27">
        <v>-0.24</v>
      </c>
      <c r="E32" s="2"/>
      <c r="F32" s="2" t="s">
        <v>8</v>
      </c>
      <c r="G32" s="2">
        <v>0.08</v>
      </c>
      <c r="H32" s="2">
        <v>3.8399999999999997E-2</v>
      </c>
      <c r="I32" s="28">
        <v>-0.52</v>
      </c>
    </row>
    <row r="33" spans="1:9" x14ac:dyDescent="0.3">
      <c r="A33" s="5" t="s">
        <v>9</v>
      </c>
      <c r="B33" s="2">
        <v>5.2833333000000003E-2</v>
      </c>
      <c r="C33" s="2">
        <v>3.7266667000000003E-2</v>
      </c>
      <c r="D33" s="27">
        <v>-0.27</v>
      </c>
      <c r="E33" s="2"/>
      <c r="F33" s="2" t="s">
        <v>9</v>
      </c>
      <c r="G33" s="2">
        <v>7.5833333000000003E-2</v>
      </c>
      <c r="H33" s="2">
        <v>4.4233333E-2</v>
      </c>
      <c r="I33" s="28">
        <v>-0.41</v>
      </c>
    </row>
    <row r="34" spans="1:9" ht="29.4" thickBot="1" x14ac:dyDescent="0.35">
      <c r="A34" s="24" t="s">
        <v>20</v>
      </c>
      <c r="B34" s="9">
        <f>_xlfn.STDEV.S(B30,B31,B32)</f>
        <v>1.4932291630333662E-2</v>
      </c>
      <c r="C34" s="9">
        <f>_xlfn.STDEV.S(C30,C31,C32)</f>
        <v>4.406056437828881E-3</v>
      </c>
      <c r="D34" s="9"/>
      <c r="E34" s="9"/>
      <c r="F34" s="25" t="s">
        <v>20</v>
      </c>
      <c r="G34" s="9">
        <f>_xlfn.STDEV.S(G30,G31,G32)</f>
        <v>4.5981880489311565E-3</v>
      </c>
      <c r="H34" s="9">
        <f>_xlfn.STDEV.S(H30,H31,H32)</f>
        <v>5.3799008664968317E-3</v>
      </c>
      <c r="I34" s="26"/>
    </row>
    <row r="52" spans="1:8" ht="15" thickBot="1" x14ac:dyDescent="0.35"/>
    <row r="53" spans="1:8" x14ac:dyDescent="0.3">
      <c r="A53" s="14" t="s">
        <v>19</v>
      </c>
      <c r="B53" s="15"/>
      <c r="C53" s="15"/>
      <c r="D53" s="15"/>
      <c r="E53" s="15"/>
      <c r="F53" s="15"/>
      <c r="G53" s="15"/>
      <c r="H53" s="16"/>
    </row>
    <row r="54" spans="1:8" x14ac:dyDescent="0.3">
      <c r="A54" s="13" t="s">
        <v>1</v>
      </c>
      <c r="B54" s="11"/>
      <c r="C54" s="11"/>
      <c r="D54" s="2"/>
      <c r="E54" s="2"/>
      <c r="F54" s="11" t="s">
        <v>2</v>
      </c>
      <c r="G54" s="11"/>
      <c r="H54" s="12"/>
    </row>
    <row r="55" spans="1:8" x14ac:dyDescent="0.3">
      <c r="A55" s="3" t="s">
        <v>3</v>
      </c>
      <c r="B55" s="1" t="s">
        <v>13</v>
      </c>
      <c r="C55" s="1" t="s">
        <v>14</v>
      </c>
      <c r="D55" s="2"/>
      <c r="E55" s="2"/>
      <c r="F55" s="1" t="s">
        <v>3</v>
      </c>
      <c r="G55" s="1" t="s">
        <v>13</v>
      </c>
      <c r="H55" s="4" t="s">
        <v>14</v>
      </c>
    </row>
    <row r="56" spans="1:8" x14ac:dyDescent="0.3">
      <c r="A56" s="3" t="s">
        <v>6</v>
      </c>
      <c r="B56" s="1">
        <v>3.6992630000000002</v>
      </c>
      <c r="C56" s="1">
        <v>3.583126</v>
      </c>
      <c r="D56" s="2"/>
      <c r="E56" s="2"/>
      <c r="F56" s="1" t="s">
        <v>6</v>
      </c>
      <c r="G56" s="1">
        <v>5.6928549999999998</v>
      </c>
      <c r="H56" s="4">
        <v>6.2701859999999998</v>
      </c>
    </row>
    <row r="57" spans="1:8" x14ac:dyDescent="0.3">
      <c r="A57" s="3" t="s">
        <v>7</v>
      </c>
      <c r="B57" s="1">
        <v>3.7723300000000002</v>
      </c>
      <c r="C57" s="1">
        <v>3.741517</v>
      </c>
      <c r="D57" s="2"/>
      <c r="E57" s="2"/>
      <c r="F57" s="1" t="s">
        <v>7</v>
      </c>
      <c r="G57" s="1">
        <v>5.487082</v>
      </c>
      <c r="H57" s="4">
        <v>5.7223160000000002</v>
      </c>
    </row>
    <row r="58" spans="1:8" x14ac:dyDescent="0.3">
      <c r="A58" s="3" t="s">
        <v>8</v>
      </c>
      <c r="B58" s="1">
        <v>3.974666</v>
      </c>
      <c r="C58" s="1">
        <v>3.5679080000000001</v>
      </c>
      <c r="D58" s="2"/>
      <c r="E58" s="2"/>
      <c r="F58" s="1" t="s">
        <v>8</v>
      </c>
      <c r="G58" s="1">
        <v>5.4566400000000002</v>
      </c>
      <c r="H58" s="4">
        <v>6.0297260000000001</v>
      </c>
    </row>
    <row r="59" spans="1:8" x14ac:dyDescent="0.3">
      <c r="A59" s="3" t="s">
        <v>9</v>
      </c>
      <c r="B59" s="1">
        <f>AVERAGE(B56:B58)</f>
        <v>3.8154196666666671</v>
      </c>
      <c r="C59" s="1">
        <f>AVERAGE(C56:C58)</f>
        <v>3.6308503333333335</v>
      </c>
      <c r="D59" s="17"/>
      <c r="E59" s="2"/>
      <c r="F59" s="1" t="s">
        <v>9</v>
      </c>
      <c r="G59" s="1">
        <f>AVERAGE(G56:G58)</f>
        <v>5.5455256666666664</v>
      </c>
      <c r="H59" s="4">
        <f>AVERAGE(H56:H58)</f>
        <v>6.0074093333333325</v>
      </c>
    </row>
    <row r="60" spans="1:8" ht="28.8" x14ac:dyDescent="0.3">
      <c r="A60" s="30" t="s">
        <v>20</v>
      </c>
      <c r="B60" s="1">
        <f>_xlfn.STDEV.S(B56,B57,B58)</f>
        <v>0.14266829582052667</v>
      </c>
      <c r="C60" s="1">
        <f>_xlfn.STDEV.S(C56,C57,C58)</f>
        <v>9.6141719426757311E-2</v>
      </c>
      <c r="D60" s="2"/>
      <c r="E60" s="2"/>
      <c r="F60" s="29" t="s">
        <v>20</v>
      </c>
      <c r="G60" s="1">
        <f>_xlfn.STDEV.S(G56,G57,G58)</f>
        <v>0.12849563489213664</v>
      </c>
      <c r="H60" s="4">
        <f>_xlfn.STDEV.S(H56,H57,H58)</f>
        <v>0.27461593077120128</v>
      </c>
    </row>
    <row r="61" spans="1:8" ht="15" thickBot="1" x14ac:dyDescent="0.35">
      <c r="A61" s="7" t="s">
        <v>15</v>
      </c>
      <c r="B61" s="43">
        <v>5.39</v>
      </c>
      <c r="C61" s="43"/>
      <c r="D61" s="9"/>
      <c r="E61" s="9"/>
      <c r="F61" s="8" t="s">
        <v>15</v>
      </c>
      <c r="G61" s="43">
        <v>11.34</v>
      </c>
      <c r="H61" s="44"/>
    </row>
    <row r="62" spans="1:8" x14ac:dyDescent="0.3">
      <c r="A62" s="5"/>
      <c r="B62" s="2"/>
      <c r="C62" s="2"/>
      <c r="D62" s="2"/>
      <c r="E62" s="2"/>
      <c r="F62" s="2"/>
      <c r="G62" s="2"/>
      <c r="H62" s="6"/>
    </row>
  </sheetData>
  <mergeCells count="9">
    <mergeCell ref="A2:C2"/>
    <mergeCell ref="F2:H2"/>
    <mergeCell ref="A53:H53"/>
    <mergeCell ref="B61:C61"/>
    <mergeCell ref="G61:H61"/>
    <mergeCell ref="A54:C54"/>
    <mergeCell ref="F54:H54"/>
    <mergeCell ref="A28:D28"/>
    <mergeCell ref="F28:I28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I33" sqref="I33"/>
    </sheetView>
  </sheetViews>
  <sheetFormatPr defaultRowHeight="14.4" x14ac:dyDescent="0.3"/>
  <cols>
    <col min="1" max="1" width="10.6640625" customWidth="1"/>
    <col min="3" max="3" width="12" bestFit="1" customWidth="1"/>
    <col min="4" max="4" width="10.109375" bestFit="1" customWidth="1"/>
    <col min="8" max="8" width="12" bestFit="1" customWidth="1"/>
    <col min="9" max="9" width="10.109375" bestFit="1" customWidth="1"/>
  </cols>
  <sheetData>
    <row r="1" spans="1:8" ht="15" thickBot="1" x14ac:dyDescent="0.35">
      <c r="A1" s="36" t="s">
        <v>21</v>
      </c>
      <c r="B1" s="37"/>
      <c r="C1" s="37"/>
      <c r="D1" s="37"/>
      <c r="E1" s="37"/>
      <c r="F1" s="37"/>
      <c r="G1" s="37"/>
      <c r="H1" s="38"/>
    </row>
    <row r="2" spans="1:8" x14ac:dyDescent="0.3">
      <c r="A2" s="33" t="s">
        <v>1</v>
      </c>
      <c r="B2" s="34"/>
      <c r="C2" s="34"/>
      <c r="D2" s="2"/>
      <c r="E2" s="2"/>
      <c r="F2" s="34" t="s">
        <v>2</v>
      </c>
      <c r="G2" s="34"/>
      <c r="H2" s="35"/>
    </row>
    <row r="3" spans="1:8" x14ac:dyDescent="0.3">
      <c r="A3" s="3" t="s">
        <v>3</v>
      </c>
      <c r="B3" s="1" t="s">
        <v>4</v>
      </c>
      <c r="C3" s="1" t="s">
        <v>5</v>
      </c>
      <c r="D3" s="2"/>
      <c r="E3" s="2"/>
      <c r="F3" s="1" t="s">
        <v>3</v>
      </c>
      <c r="G3" s="1" t="s">
        <v>4</v>
      </c>
      <c r="H3" s="4" t="s">
        <v>5</v>
      </c>
    </row>
    <row r="4" spans="1:8" x14ac:dyDescent="0.3">
      <c r="A4" s="3" t="s">
        <v>16</v>
      </c>
      <c r="B4" s="1">
        <v>0.16439999999999999</v>
      </c>
      <c r="C4" s="1">
        <v>0.1391</v>
      </c>
      <c r="D4" s="2"/>
      <c r="E4" s="2"/>
      <c r="F4" s="1" t="s">
        <v>16</v>
      </c>
      <c r="G4" s="1">
        <v>0.28910000000000002</v>
      </c>
      <c r="H4" s="4">
        <v>0.23580000000000001</v>
      </c>
    </row>
    <row r="5" spans="1:8" x14ac:dyDescent="0.3">
      <c r="A5" s="3" t="s">
        <v>22</v>
      </c>
      <c r="B5" s="1">
        <v>0.1648</v>
      </c>
      <c r="C5" s="1">
        <v>0.15840000000000001</v>
      </c>
      <c r="D5" s="2"/>
      <c r="E5" s="2"/>
      <c r="F5" s="1" t="s">
        <v>22</v>
      </c>
      <c r="G5" s="1">
        <v>0.29339999999999999</v>
      </c>
      <c r="H5" s="4">
        <v>0.315</v>
      </c>
    </row>
    <row r="6" spans="1:8" x14ac:dyDescent="0.3">
      <c r="A6" s="3" t="s">
        <v>23</v>
      </c>
      <c r="B6" s="1">
        <v>0.1482</v>
      </c>
      <c r="C6" s="1">
        <v>0.1449</v>
      </c>
      <c r="D6" s="2"/>
      <c r="E6" s="2"/>
      <c r="F6" s="1" t="s">
        <v>23</v>
      </c>
      <c r="G6" s="1">
        <v>0.28029999999999999</v>
      </c>
      <c r="H6" s="4">
        <v>0.25009999999999999</v>
      </c>
    </row>
    <row r="7" spans="1:8" x14ac:dyDescent="0.3">
      <c r="A7" s="3" t="s">
        <v>9</v>
      </c>
      <c r="B7" s="1">
        <f>AVERAGE(B4:B6)</f>
        <v>0.15913333333333332</v>
      </c>
      <c r="C7" s="1">
        <f>AVERAGE(C4:C6)</f>
        <v>0.14746666666666666</v>
      </c>
      <c r="D7" s="2"/>
      <c r="E7" s="2"/>
      <c r="F7" s="1" t="s">
        <v>9</v>
      </c>
      <c r="G7" s="1">
        <f>AVERAGE(G4:G6)</f>
        <v>0.28760000000000002</v>
      </c>
      <c r="H7" s="4">
        <f>AVERAGE(H4:H6)</f>
        <v>0.26696666666666663</v>
      </c>
    </row>
    <row r="8" spans="1:8" ht="29.4" thickBot="1" x14ac:dyDescent="0.35">
      <c r="A8" s="31" t="s">
        <v>20</v>
      </c>
      <c r="B8" s="8">
        <f>_xlfn.STDEV.S(B4,B5,B6)</f>
        <v>9.4706564362420677E-3</v>
      </c>
      <c r="C8" s="8">
        <f>_xlfn.STDEV.S(C4,C5,C6)</f>
        <v>9.9026932363541105E-3</v>
      </c>
      <c r="D8" s="9"/>
      <c r="E8" s="9"/>
      <c r="F8" s="32" t="s">
        <v>20</v>
      </c>
      <c r="G8" s="8">
        <f>_xlfn.STDEV.S(G4,G5,G6)</f>
        <v>6.6775744099186228E-3</v>
      </c>
      <c r="H8" s="10">
        <f>_xlfn.STDEV.S(H4,H5,H6)</f>
        <v>4.2208095589985506E-2</v>
      </c>
    </row>
    <row r="26" spans="1:9" ht="15" thickBot="1" x14ac:dyDescent="0.35"/>
    <row r="27" spans="1:9" ht="15" thickBot="1" x14ac:dyDescent="0.35">
      <c r="A27" s="36" t="s">
        <v>0</v>
      </c>
      <c r="B27" s="37"/>
      <c r="C27" s="37"/>
      <c r="D27" s="37"/>
      <c r="E27" s="37"/>
      <c r="F27" s="37"/>
      <c r="G27" s="37"/>
      <c r="H27" s="37"/>
      <c r="I27" s="38"/>
    </row>
    <row r="28" spans="1:9" x14ac:dyDescent="0.3">
      <c r="A28" s="33" t="s">
        <v>1</v>
      </c>
      <c r="B28" s="34"/>
      <c r="C28" s="34"/>
      <c r="D28" s="34"/>
      <c r="E28" s="2"/>
      <c r="F28" s="34" t="s">
        <v>2</v>
      </c>
      <c r="G28" s="34"/>
      <c r="H28" s="34"/>
      <c r="I28" s="35"/>
    </row>
    <row r="29" spans="1:9" x14ac:dyDescent="0.3">
      <c r="A29" s="3" t="s">
        <v>3</v>
      </c>
      <c r="B29" s="1" t="s">
        <v>10</v>
      </c>
      <c r="C29" s="1" t="s">
        <v>11</v>
      </c>
      <c r="D29" s="1" t="s">
        <v>12</v>
      </c>
      <c r="E29" s="2"/>
      <c r="F29" s="1" t="s">
        <v>3</v>
      </c>
      <c r="G29" s="1" t="s">
        <v>10</v>
      </c>
      <c r="H29" s="1" t="s">
        <v>11</v>
      </c>
      <c r="I29" s="4" t="s">
        <v>12</v>
      </c>
    </row>
    <row r="30" spans="1:9" x14ac:dyDescent="0.3">
      <c r="A30" s="3" t="s">
        <v>16</v>
      </c>
      <c r="B30" s="1">
        <v>0.1157</v>
      </c>
      <c r="C30" s="1">
        <v>5.4600000000000003E-2</v>
      </c>
      <c r="D30" s="39">
        <v>-0.52800000000000002</v>
      </c>
      <c r="E30" s="2"/>
      <c r="F30" s="1" t="s">
        <v>16</v>
      </c>
      <c r="G30" s="1">
        <v>0.22189999999999999</v>
      </c>
      <c r="H30" s="1">
        <v>0.14050000000000001</v>
      </c>
      <c r="I30" s="40">
        <v>-0.36680000000000001</v>
      </c>
    </row>
    <row r="31" spans="1:9" x14ac:dyDescent="0.3">
      <c r="A31" s="3" t="s">
        <v>22</v>
      </c>
      <c r="B31" s="1">
        <v>0.11</v>
      </c>
      <c r="C31" s="1">
        <v>7.2300000000000003E-2</v>
      </c>
      <c r="D31" s="39">
        <v>-0.3427</v>
      </c>
      <c r="E31" s="2"/>
      <c r="F31" s="1" t="s">
        <v>22</v>
      </c>
      <c r="G31" s="1">
        <v>0.19800000000000001</v>
      </c>
      <c r="H31" s="1">
        <v>0.1482</v>
      </c>
      <c r="I31" s="40">
        <v>-0.251</v>
      </c>
    </row>
    <row r="32" spans="1:9" x14ac:dyDescent="0.3">
      <c r="A32" s="3" t="s">
        <v>23</v>
      </c>
      <c r="B32" s="1">
        <v>8.6800000000000002E-2</v>
      </c>
      <c r="C32" s="1">
        <v>6.8199999999999997E-2</v>
      </c>
      <c r="D32" s="39">
        <v>-0.2142</v>
      </c>
      <c r="E32" s="2"/>
      <c r="F32" s="1" t="s">
        <v>23</v>
      </c>
      <c r="G32" s="1">
        <v>0.17519999999999999</v>
      </c>
      <c r="H32" s="1">
        <v>0.1431</v>
      </c>
      <c r="I32" s="40">
        <v>-0.1832</v>
      </c>
    </row>
    <row r="33" spans="1:9" ht="15" thickBot="1" x14ac:dyDescent="0.35">
      <c r="A33" s="3" t="s">
        <v>9</v>
      </c>
      <c r="B33" s="1">
        <f>AVERAGE(B30:B32)</f>
        <v>0.10416666666666667</v>
      </c>
      <c r="C33" s="1">
        <f>AVERAGE(C30:C32)</f>
        <v>6.5033333333333332E-2</v>
      </c>
      <c r="D33" s="39">
        <v>-0.376</v>
      </c>
      <c r="E33" s="2"/>
      <c r="F33" s="1" t="s">
        <v>9</v>
      </c>
      <c r="G33" s="1">
        <f>AVERAGE(G30:G32)</f>
        <v>0.19836666666666666</v>
      </c>
      <c r="H33" s="1">
        <f>AVERAGE(H30:H32)</f>
        <v>0.14393333333333333</v>
      </c>
      <c r="I33" s="42">
        <f>AVERAGE(I30:I32)</f>
        <v>-0.26700000000000002</v>
      </c>
    </row>
    <row r="34" spans="1:9" ht="29.4" thickBot="1" x14ac:dyDescent="0.35">
      <c r="A34" s="31" t="s">
        <v>20</v>
      </c>
      <c r="B34" s="8">
        <f>_xlfn.STDEV.S(B30,B31,B32)</f>
        <v>1.5307623373121356E-2</v>
      </c>
      <c r="C34" s="8">
        <f>_xlfn.STDEV.S(C30,C31,C32)</f>
        <v>9.2651677444790179E-3</v>
      </c>
      <c r="D34" s="41"/>
      <c r="E34" s="9"/>
      <c r="F34" s="32" t="s">
        <v>20</v>
      </c>
      <c r="G34" s="8">
        <f>_xlfn.STDEV.S(G30,G31,G32)</f>
        <v>2.3352159072200007E-2</v>
      </c>
      <c r="H34" s="8">
        <f>_xlfn.STDEV.S(H30,H31,H32)</f>
        <v>3.9170567181664954E-3</v>
      </c>
      <c r="I34" s="26"/>
    </row>
    <row r="55" spans="1:8" ht="15" thickBot="1" x14ac:dyDescent="0.35"/>
    <row r="56" spans="1:8" x14ac:dyDescent="0.3">
      <c r="A56" s="14" t="s">
        <v>19</v>
      </c>
      <c r="B56" s="15"/>
      <c r="C56" s="15"/>
      <c r="D56" s="15"/>
      <c r="E56" s="15"/>
      <c r="F56" s="15"/>
      <c r="G56" s="15"/>
      <c r="H56" s="16"/>
    </row>
    <row r="57" spans="1:8" x14ac:dyDescent="0.3">
      <c r="A57" s="13" t="s">
        <v>1</v>
      </c>
      <c r="B57" s="11"/>
      <c r="C57" s="11"/>
      <c r="D57" s="2"/>
      <c r="E57" s="2"/>
      <c r="F57" s="11" t="s">
        <v>2</v>
      </c>
      <c r="G57" s="11"/>
      <c r="H57" s="12"/>
    </row>
    <row r="58" spans="1:8" x14ac:dyDescent="0.3">
      <c r="A58" s="3" t="s">
        <v>3</v>
      </c>
      <c r="B58" s="1" t="s">
        <v>13</v>
      </c>
      <c r="C58" s="1" t="s">
        <v>14</v>
      </c>
      <c r="D58" s="2"/>
      <c r="E58" s="2"/>
      <c r="F58" s="1" t="s">
        <v>3</v>
      </c>
      <c r="G58" s="1" t="s">
        <v>13</v>
      </c>
      <c r="H58" s="4" t="s">
        <v>14</v>
      </c>
    </row>
    <row r="59" spans="1:8" x14ac:dyDescent="0.3">
      <c r="A59" s="3" t="s">
        <v>16</v>
      </c>
      <c r="B59" s="1">
        <v>5.2383540000000002</v>
      </c>
      <c r="C59" s="1">
        <v>4.2360360000000004</v>
      </c>
      <c r="D59" s="2"/>
      <c r="E59" s="2"/>
      <c r="F59" s="1" t="s">
        <v>16</v>
      </c>
      <c r="G59" s="1">
        <v>11.327349999999999</v>
      </c>
      <c r="H59" s="4">
        <v>10.658098000000001</v>
      </c>
    </row>
    <row r="60" spans="1:8" x14ac:dyDescent="0.3">
      <c r="A60" s="3" t="s">
        <v>17</v>
      </c>
      <c r="B60" s="1">
        <v>5.7560149999999997</v>
      </c>
      <c r="C60" s="1">
        <v>6.4931130000000001</v>
      </c>
      <c r="D60" s="2"/>
      <c r="E60" s="2"/>
      <c r="F60" s="1" t="s">
        <v>17</v>
      </c>
      <c r="G60" s="1">
        <v>10.414042</v>
      </c>
      <c r="H60" s="4">
        <v>13.084210000000001</v>
      </c>
    </row>
    <row r="61" spans="1:8" x14ac:dyDescent="0.3">
      <c r="A61" s="3" t="s">
        <v>18</v>
      </c>
      <c r="B61" s="1">
        <v>5.9740479999999998</v>
      </c>
      <c r="C61" s="1">
        <v>6.3591879999999996</v>
      </c>
      <c r="D61" s="2"/>
      <c r="E61" s="2"/>
      <c r="F61" s="1" t="s">
        <v>18</v>
      </c>
      <c r="G61" s="1">
        <v>12.316342000000001</v>
      </c>
      <c r="H61" s="4">
        <v>11.136991</v>
      </c>
    </row>
    <row r="62" spans="1:8" ht="15" thickBot="1" x14ac:dyDescent="0.35">
      <c r="A62" s="7" t="s">
        <v>9</v>
      </c>
      <c r="B62" s="8">
        <f>AVERAGE(B59:B61)</f>
        <v>5.6561389999999996</v>
      </c>
      <c r="C62" s="8">
        <f>AVERAGE(C59:C61)</f>
        <v>5.6961123333333328</v>
      </c>
      <c r="D62" s="9"/>
      <c r="E62" s="9"/>
      <c r="F62" s="8" t="s">
        <v>9</v>
      </c>
      <c r="G62" s="8">
        <f>AVERAGE(G59:G61)</f>
        <v>11.352577999999999</v>
      </c>
      <c r="H62" s="10">
        <f>AVERAGE(H59:H61)</f>
        <v>11.626433</v>
      </c>
    </row>
    <row r="63" spans="1:8" ht="29.4" thickBot="1" x14ac:dyDescent="0.35">
      <c r="A63" s="31" t="s">
        <v>20</v>
      </c>
      <c r="B63" s="8">
        <f>_xlfn.STDEV.S(B59,B60,B61)</f>
        <v>0.37787938147112476</v>
      </c>
      <c r="C63" s="8">
        <f>_xlfn.STDEV.S(C59,C60,C61)</f>
        <v>1.2662350298330614</v>
      </c>
      <c r="D63" s="9"/>
      <c r="E63" s="9"/>
      <c r="F63" s="32" t="s">
        <v>20</v>
      </c>
      <c r="G63" s="8">
        <f>_xlfn.STDEV.S(G59,G60,G61)</f>
        <v>0.95140089420180829</v>
      </c>
      <c r="H63" s="10">
        <f>_xlfn.STDEV.S(H59,H60,H61)</f>
        <v>1.2849785845137653</v>
      </c>
    </row>
  </sheetData>
  <mergeCells count="9">
    <mergeCell ref="F57:H57"/>
    <mergeCell ref="A57:C57"/>
    <mergeCell ref="A56:H56"/>
    <mergeCell ref="A2:C2"/>
    <mergeCell ref="F2:H2"/>
    <mergeCell ref="A28:D28"/>
    <mergeCell ref="F28:I28"/>
    <mergeCell ref="A1:H1"/>
    <mergeCell ref="A27:I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Metrics_Comp_CS</vt:lpstr>
      <vt:lpstr>Metrics_Comp_FV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home</cp:lastModifiedBy>
  <dcterms:created xsi:type="dcterms:W3CDTF">2026-05-20T12:46:10Z</dcterms:created>
  <dcterms:modified xsi:type="dcterms:W3CDTF">2026-05-24T13:21:17Z</dcterms:modified>
</cp:coreProperties>
</file>